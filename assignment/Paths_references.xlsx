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wnloads\"/>
    </mc:Choice>
  </mc:AlternateContent>
  <xr:revisionPtr revIDLastSave="0" documentId="13_ncr:1_{CBAC417C-A783-4B50-B98D-FBCFB71C7D0D}" xr6:coauthVersionLast="47" xr6:coauthVersionMax="47" xr10:uidLastSave="{00000000-0000-0000-0000-000000000000}"/>
  <bookViews>
    <workbookView xWindow="-108" yWindow="-108" windowWidth="23256" windowHeight="12456" xr2:uid="{FC17C73D-F7F5-4E77-81E2-5F999D286B9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5" i="1" l="1"/>
  <c r="E20" i="1" s="1"/>
  <c r="AF4" i="1"/>
  <c r="E8" i="1" s="1"/>
  <c r="Y6" i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R6" i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V4" i="1"/>
  <c r="L21" i="1" l="1"/>
  <c r="L5" i="1"/>
  <c r="M5" i="1" s="1"/>
  <c r="L11" i="1"/>
  <c r="L14" i="1"/>
  <c r="L15" i="1"/>
  <c r="L18" i="1"/>
  <c r="L19" i="1"/>
  <c r="L16" i="1"/>
  <c r="L17" i="1"/>
  <c r="L6" i="1"/>
  <c r="L7" i="1"/>
  <c r="L8" i="1"/>
  <c r="L20" i="1"/>
  <c r="L9" i="1"/>
  <c r="L10" i="1"/>
  <c r="L12" i="1"/>
  <c r="L13" i="1"/>
  <c r="E9" i="1"/>
  <c r="E13" i="1"/>
  <c r="E10" i="1"/>
  <c r="E11" i="1"/>
  <c r="E12" i="1"/>
  <c r="E21" i="1"/>
  <c r="E14" i="1"/>
  <c r="E15" i="1"/>
  <c r="E5" i="1"/>
  <c r="F5" i="1" s="1"/>
  <c r="E16" i="1"/>
  <c r="E6" i="1"/>
  <c r="E17" i="1"/>
  <c r="E7" i="1"/>
  <c r="E18" i="1"/>
  <c r="E19" i="1"/>
  <c r="M6" i="1" l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</calcChain>
</file>

<file path=xl/sharedStrings.xml><?xml version="1.0" encoding="utf-8"?>
<sst xmlns="http://schemas.openxmlformats.org/spreadsheetml/2006/main" count="122" uniqueCount="46">
  <si>
    <t>Number</t>
  </si>
  <si>
    <t>Path n°1</t>
  </si>
  <si>
    <t>Path n°2</t>
  </si>
  <si>
    <t>Path n°3</t>
  </si>
  <si>
    <t>Path n°4</t>
  </si>
  <si>
    <t>Door</t>
  </si>
  <si>
    <t>0 24</t>
  </si>
  <si>
    <t>0 23</t>
  </si>
  <si>
    <t>0 22</t>
  </si>
  <si>
    <t xml:space="preserve">0 21 </t>
  </si>
  <si>
    <t>0 20</t>
  </si>
  <si>
    <t>0 19</t>
  </si>
  <si>
    <t>0 18</t>
  </si>
  <si>
    <t>1 18</t>
  </si>
  <si>
    <t>1 20</t>
  </si>
  <si>
    <t>1 21</t>
  </si>
  <si>
    <t>1 23</t>
  </si>
  <si>
    <t>1 24</t>
  </si>
  <si>
    <t xml:space="preserve"> 1 22</t>
  </si>
  <si>
    <t>1 22</t>
  </si>
  <si>
    <t>1 21a</t>
  </si>
  <si>
    <t>0 21</t>
  </si>
  <si>
    <t>1 19</t>
  </si>
  <si>
    <t xml:space="preserve"> 1 20</t>
  </si>
  <si>
    <t xml:space="preserve"> 1 21</t>
  </si>
  <si>
    <t xml:space="preserve">0 23 </t>
  </si>
  <si>
    <t xml:space="preserve">0 20 </t>
  </si>
  <si>
    <t xml:space="preserve">1 21a </t>
  </si>
  <si>
    <t xml:space="preserve">1 21 </t>
  </si>
  <si>
    <t>END</t>
  </si>
  <si>
    <t>START</t>
  </si>
  <si>
    <t xml:space="preserve"> 03:02,87</t>
  </si>
  <si>
    <t xml:space="preserve"> 04:12,46</t>
  </si>
  <si>
    <t>03:17,87</t>
  </si>
  <si>
    <t>Time (ms)</t>
  </si>
  <si>
    <t>Sum_Time (ms)</t>
  </si>
  <si>
    <t>197870 ms</t>
  </si>
  <si>
    <t>03:47,86</t>
  </si>
  <si>
    <t>182870 ms</t>
  </si>
  <si>
    <t>252640 ms</t>
  </si>
  <si>
    <t>227860 ms</t>
  </si>
  <si>
    <t>Steps</t>
  </si>
  <si>
    <t>Step lenght (cm)</t>
  </si>
  <si>
    <t>Slow speed (pas/s)</t>
  </si>
  <si>
    <t>Fast speed (pas/s)</t>
  </si>
  <si>
    <t>Sum_steps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</si>
</sst>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47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4CB3D-3060-4CE6-B514-7AD2DFACA1A8}">
  <dimension ref="B3:AF52"/>
  <sheetViews>
    <sheetView tabSelected="1" topLeftCell="I1" zoomScale="74" workbookViewId="0">
      <selection activeCell="AD12" sqref="AD12"/>
    </sheetView>
  </sheetViews>
  <sheetFormatPr baseColWidth="10" defaultRowHeight="14.4" x14ac:dyDescent="0.3"/>
  <cols>
    <col min="4" max="6" width="13.77734375" customWidth="1"/>
    <col min="11" max="13" width="13.77734375" customWidth="1"/>
    <col min="18" max="18" width="14.21875" bestFit="1" customWidth="1"/>
    <col min="19" max="20" width="14.21875" customWidth="1"/>
    <col min="25" max="27" width="13.77734375" customWidth="1"/>
    <col min="31" max="31" width="15.5546875" bestFit="1" customWidth="1"/>
    <col min="32" max="32" width="18.109375" customWidth="1"/>
  </cols>
  <sheetData>
    <row r="3" spans="2:32" x14ac:dyDescent="0.3">
      <c r="B3" t="s">
        <v>1</v>
      </c>
      <c r="C3" s="3" t="s">
        <v>33</v>
      </c>
      <c r="D3" s="4" t="s">
        <v>36</v>
      </c>
      <c r="E3" s="4"/>
      <c r="F3" s="4"/>
      <c r="I3" t="s">
        <v>2</v>
      </c>
      <c r="J3" t="s">
        <v>31</v>
      </c>
      <c r="K3" t="s">
        <v>38</v>
      </c>
      <c r="P3" t="s">
        <v>3</v>
      </c>
      <c r="Q3" t="s">
        <v>32</v>
      </c>
      <c r="R3" t="s">
        <v>39</v>
      </c>
      <c r="W3" t="s">
        <v>4</v>
      </c>
      <c r="X3" s="3" t="s">
        <v>37</v>
      </c>
      <c r="Y3" s="3" t="s">
        <v>40</v>
      </c>
      <c r="Z3" s="3"/>
      <c r="AA3" s="3"/>
      <c r="AE3" s="2" t="s">
        <v>42</v>
      </c>
      <c r="AF3" s="1">
        <v>65</v>
      </c>
    </row>
    <row r="4" spans="2:32" x14ac:dyDescent="0.3">
      <c r="B4" s="2" t="s">
        <v>0</v>
      </c>
      <c r="C4" s="2" t="s">
        <v>34</v>
      </c>
      <c r="D4" s="2" t="s">
        <v>35</v>
      </c>
      <c r="E4" s="2" t="s">
        <v>41</v>
      </c>
      <c r="F4" s="2" t="s">
        <v>45</v>
      </c>
      <c r="G4" s="2" t="s">
        <v>5</v>
      </c>
      <c r="I4" s="2" t="s">
        <v>0</v>
      </c>
      <c r="J4" s="2" t="s">
        <v>34</v>
      </c>
      <c r="K4" s="2" t="s">
        <v>35</v>
      </c>
      <c r="L4" s="2" t="s">
        <v>41</v>
      </c>
      <c r="M4" s="2" t="s">
        <v>45</v>
      </c>
      <c r="N4" s="2" t="s">
        <v>5</v>
      </c>
      <c r="P4" s="2" t="s">
        <v>0</v>
      </c>
      <c r="Q4" s="2" t="s">
        <v>34</v>
      </c>
      <c r="R4" s="2" t="s">
        <v>35</v>
      </c>
      <c r="S4" s="2" t="s">
        <v>41</v>
      </c>
      <c r="T4" s="2" t="s">
        <v>45</v>
      </c>
      <c r="U4" s="2" t="s">
        <v>5</v>
      </c>
      <c r="V4">
        <f>19.62+1.91+7.89+7.59+6.65+6.63+7.63+46.08+6.09+5.86+2.3+2.95+6.1</f>
        <v>127.3</v>
      </c>
      <c r="W4" s="2" t="s">
        <v>0</v>
      </c>
      <c r="X4" s="2" t="s">
        <v>34</v>
      </c>
      <c r="Y4" s="2" t="s">
        <v>35</v>
      </c>
      <c r="Z4" s="2" t="s">
        <v>41</v>
      </c>
      <c r="AA4" s="2" t="s">
        <v>45</v>
      </c>
      <c r="AB4" s="2" t="s">
        <v>5</v>
      </c>
      <c r="AE4" s="2" t="s">
        <v>43</v>
      </c>
      <c r="AF4" s="1">
        <f>10/8</f>
        <v>1.25</v>
      </c>
    </row>
    <row r="5" spans="2:32" x14ac:dyDescent="0.3">
      <c r="B5" s="1">
        <v>0</v>
      </c>
      <c r="C5" s="1">
        <v>0</v>
      </c>
      <c r="D5" s="1">
        <v>0</v>
      </c>
      <c r="E5" s="1">
        <f>C5*(AF4/1000)</f>
        <v>0</v>
      </c>
      <c r="F5" s="1">
        <f>E5</f>
        <v>0</v>
      </c>
      <c r="G5" s="1" t="s">
        <v>30</v>
      </c>
      <c r="I5" s="1">
        <v>0</v>
      </c>
      <c r="J5" s="1">
        <v>0</v>
      </c>
      <c r="K5" s="1">
        <v>0</v>
      </c>
      <c r="L5" s="1">
        <f>AF4*(J5/1000)</f>
        <v>0</v>
      </c>
      <c r="M5" s="1">
        <f>L5</f>
        <v>0</v>
      </c>
      <c r="N5" s="1" t="s">
        <v>30</v>
      </c>
      <c r="P5" s="1">
        <v>0</v>
      </c>
      <c r="Q5" s="1">
        <v>0</v>
      </c>
      <c r="R5" s="1">
        <v>0</v>
      </c>
      <c r="S5" s="5">
        <v>0</v>
      </c>
      <c r="T5" s="5">
        <v>0</v>
      </c>
      <c r="U5" s="1" t="s">
        <v>30</v>
      </c>
      <c r="W5" s="1">
        <v>0</v>
      </c>
      <c r="X5" s="1">
        <v>0</v>
      </c>
      <c r="Y5" s="1">
        <v>0</v>
      </c>
      <c r="Z5" s="5">
        <v>0</v>
      </c>
      <c r="AA5" s="5">
        <v>0</v>
      </c>
      <c r="AB5" s="1" t="s">
        <v>30</v>
      </c>
      <c r="AE5" s="2" t="s">
        <v>44</v>
      </c>
      <c r="AF5" s="1">
        <f>10/7</f>
        <v>1.4285714285714286</v>
      </c>
    </row>
    <row r="6" spans="2:32" x14ac:dyDescent="0.3">
      <c r="B6" s="1">
        <v>1</v>
      </c>
      <c r="C6" s="1">
        <v>16140</v>
      </c>
      <c r="D6" s="1">
        <f>D5+C6</f>
        <v>16140</v>
      </c>
      <c r="E6" s="1">
        <f>C6*(AF4/1000)</f>
        <v>20.175000000000001</v>
      </c>
      <c r="F6" s="1">
        <f>F5+E6</f>
        <v>20.175000000000001</v>
      </c>
      <c r="G6" s="1" t="s">
        <v>6</v>
      </c>
      <c r="I6" s="1">
        <v>1</v>
      </c>
      <c r="J6" s="1">
        <v>5440</v>
      </c>
      <c r="K6" s="1">
        <f>K5+J6</f>
        <v>5440</v>
      </c>
      <c r="L6" s="1">
        <f>AF4*(J6/1000)</f>
        <v>6.8000000000000007</v>
      </c>
      <c r="M6" s="1">
        <f>M5+L6</f>
        <v>6.8000000000000007</v>
      </c>
      <c r="N6" s="1" t="s">
        <v>21</v>
      </c>
      <c r="P6" s="1">
        <v>1</v>
      </c>
      <c r="Q6" s="1">
        <v>19620</v>
      </c>
      <c r="R6" s="1">
        <f>R5+Q6</f>
        <v>19620</v>
      </c>
      <c r="S6" s="5">
        <v>24.53</v>
      </c>
      <c r="T6" s="5">
        <v>24.53</v>
      </c>
      <c r="U6" s="1" t="s">
        <v>12</v>
      </c>
      <c r="W6" s="1">
        <v>1</v>
      </c>
      <c r="X6" s="1">
        <v>40200</v>
      </c>
      <c r="Y6" s="1">
        <f>Y5+X6</f>
        <v>40200</v>
      </c>
      <c r="Z6" s="5">
        <v>50.25</v>
      </c>
      <c r="AA6" s="5">
        <v>50.25</v>
      </c>
      <c r="AB6" s="1" t="s">
        <v>17</v>
      </c>
    </row>
    <row r="7" spans="2:32" x14ac:dyDescent="0.3">
      <c r="B7" s="1">
        <v>2</v>
      </c>
      <c r="C7" s="1">
        <v>10440</v>
      </c>
      <c r="D7" s="1">
        <f t="shared" ref="D7:D21" si="0">D6+C7</f>
        <v>26580</v>
      </c>
      <c r="E7" s="1">
        <f>C7*(AF4/1000)</f>
        <v>13.05</v>
      </c>
      <c r="F7" s="1">
        <f t="shared" ref="F7:F20" si="1">F6+E7</f>
        <v>33.225000000000001</v>
      </c>
      <c r="G7" s="1" t="s">
        <v>7</v>
      </c>
      <c r="I7" s="1">
        <v>2</v>
      </c>
      <c r="J7" s="1">
        <v>6700</v>
      </c>
      <c r="K7" s="1">
        <f t="shared" ref="K7:K21" si="2">K6+J7</f>
        <v>12140</v>
      </c>
      <c r="L7" s="1">
        <f>AF4*(J7/1000)</f>
        <v>8.375</v>
      </c>
      <c r="M7" s="1">
        <f t="shared" ref="M7:M21" si="3">M6+L7</f>
        <v>15.175000000000001</v>
      </c>
      <c r="N7" s="1" t="s">
        <v>10</v>
      </c>
      <c r="P7" s="1">
        <v>2</v>
      </c>
      <c r="Q7" s="1">
        <v>1910</v>
      </c>
      <c r="R7" s="1">
        <f t="shared" ref="R7:R28" si="4">R6+Q7</f>
        <v>21530</v>
      </c>
      <c r="S7" s="5">
        <v>2.39</v>
      </c>
      <c r="T7" s="5">
        <v>26.91</v>
      </c>
      <c r="U7" s="1" t="s">
        <v>11</v>
      </c>
      <c r="W7" s="1">
        <v>2</v>
      </c>
      <c r="X7" s="1">
        <v>7260</v>
      </c>
      <c r="Y7" s="1">
        <f t="shared" ref="Y7:Y29" si="5">Y6+X7</f>
        <v>47460</v>
      </c>
      <c r="Z7" s="5">
        <v>9.08</v>
      </c>
      <c r="AA7" s="5">
        <v>59.33</v>
      </c>
      <c r="AB7" s="1" t="s">
        <v>16</v>
      </c>
    </row>
    <row r="8" spans="2:32" x14ac:dyDescent="0.3">
      <c r="B8" s="1">
        <v>3</v>
      </c>
      <c r="C8" s="1">
        <v>9210</v>
      </c>
      <c r="D8" s="1">
        <f t="shared" si="0"/>
        <v>35790</v>
      </c>
      <c r="E8" s="1">
        <f>C8*(AF4/1000)</f>
        <v>11.512500000000001</v>
      </c>
      <c r="F8" s="1">
        <f t="shared" si="1"/>
        <v>44.737500000000004</v>
      </c>
      <c r="G8" s="1" t="s">
        <v>8</v>
      </c>
      <c r="I8" s="1">
        <v>3</v>
      </c>
      <c r="J8" s="1">
        <v>1340</v>
      </c>
      <c r="K8" s="1">
        <f t="shared" si="2"/>
        <v>13480</v>
      </c>
      <c r="L8" s="1">
        <f>AF4*(J8/1000)</f>
        <v>1.675</v>
      </c>
      <c r="M8" s="1">
        <f t="shared" si="3"/>
        <v>16.850000000000001</v>
      </c>
      <c r="N8" s="1" t="s">
        <v>11</v>
      </c>
      <c r="P8" s="1">
        <v>3</v>
      </c>
      <c r="Q8" s="1">
        <v>7890</v>
      </c>
      <c r="R8" s="1">
        <f t="shared" si="4"/>
        <v>29420</v>
      </c>
      <c r="S8" s="5">
        <v>9.86</v>
      </c>
      <c r="T8" s="5">
        <v>36.78</v>
      </c>
      <c r="U8" s="1" t="s">
        <v>10</v>
      </c>
      <c r="W8" s="1">
        <v>3</v>
      </c>
      <c r="X8" s="1">
        <v>7160</v>
      </c>
      <c r="Y8" s="1">
        <f t="shared" si="5"/>
        <v>54620</v>
      </c>
      <c r="Z8" s="5">
        <v>8.9499999999999993</v>
      </c>
      <c r="AA8" s="5">
        <v>68.28</v>
      </c>
      <c r="AB8" s="1" t="s">
        <v>18</v>
      </c>
    </row>
    <row r="9" spans="2:32" x14ac:dyDescent="0.3">
      <c r="B9" s="1">
        <v>4</v>
      </c>
      <c r="C9" s="1">
        <v>8060</v>
      </c>
      <c r="D9" s="1">
        <f t="shared" si="0"/>
        <v>43850</v>
      </c>
      <c r="E9" s="1">
        <f>C9*(AF4/1000)</f>
        <v>10.075000000000001</v>
      </c>
      <c r="F9" s="1">
        <f t="shared" si="1"/>
        <v>54.812500000000007</v>
      </c>
      <c r="G9" s="1" t="s">
        <v>9</v>
      </c>
      <c r="I9" s="1">
        <v>4</v>
      </c>
      <c r="J9" s="1">
        <v>520</v>
      </c>
      <c r="K9" s="1">
        <f t="shared" si="2"/>
        <v>14000</v>
      </c>
      <c r="L9" s="1">
        <f>AF4*(J9/1000)</f>
        <v>0.65</v>
      </c>
      <c r="M9" s="1">
        <f t="shared" si="3"/>
        <v>17.5</v>
      </c>
      <c r="N9" s="1" t="s">
        <v>12</v>
      </c>
      <c r="P9" s="1">
        <v>4</v>
      </c>
      <c r="Q9" s="1">
        <v>7590</v>
      </c>
      <c r="R9" s="1">
        <f t="shared" si="4"/>
        <v>37010</v>
      </c>
      <c r="S9" s="5">
        <v>9.49</v>
      </c>
      <c r="T9" s="5">
        <v>46.26</v>
      </c>
      <c r="U9" s="1" t="s">
        <v>9</v>
      </c>
      <c r="W9" s="1">
        <v>4</v>
      </c>
      <c r="X9" s="1">
        <v>3100</v>
      </c>
      <c r="Y9" s="1">
        <f t="shared" si="5"/>
        <v>57720</v>
      </c>
      <c r="Z9" s="5">
        <v>3.88</v>
      </c>
      <c r="AA9" s="5">
        <v>72.150000000000006</v>
      </c>
      <c r="AB9" s="1" t="s">
        <v>27</v>
      </c>
    </row>
    <row r="10" spans="2:32" x14ac:dyDescent="0.3">
      <c r="B10" s="1">
        <v>5</v>
      </c>
      <c r="C10" s="1">
        <v>10110</v>
      </c>
      <c r="D10" s="1">
        <f t="shared" si="0"/>
        <v>53960</v>
      </c>
      <c r="E10" s="1">
        <f>C10*(AF4/1000)</f>
        <v>12.637500000000001</v>
      </c>
      <c r="F10" s="1">
        <f t="shared" si="1"/>
        <v>67.45</v>
      </c>
      <c r="G10" s="1" t="s">
        <v>10</v>
      </c>
      <c r="I10" s="1">
        <v>5</v>
      </c>
      <c r="J10" s="1">
        <v>60830</v>
      </c>
      <c r="K10" s="1">
        <f t="shared" si="2"/>
        <v>74830</v>
      </c>
      <c r="L10" s="1">
        <f>AF4*(J10/1000)</f>
        <v>76.037499999999994</v>
      </c>
      <c r="M10" s="1">
        <f t="shared" si="3"/>
        <v>93.537499999999994</v>
      </c>
      <c r="N10" s="1" t="s">
        <v>13</v>
      </c>
      <c r="P10" s="1">
        <v>5</v>
      </c>
      <c r="Q10" s="1">
        <v>6650</v>
      </c>
      <c r="R10" s="1">
        <f t="shared" si="4"/>
        <v>43660</v>
      </c>
      <c r="S10" s="5">
        <v>8.31</v>
      </c>
      <c r="T10" s="5">
        <v>54.58</v>
      </c>
      <c r="U10" s="1" t="s">
        <v>8</v>
      </c>
      <c r="W10" s="1">
        <v>5</v>
      </c>
      <c r="X10" s="1">
        <v>3800</v>
      </c>
      <c r="Y10" s="1">
        <f t="shared" si="5"/>
        <v>61520</v>
      </c>
      <c r="Z10" s="5">
        <v>4.75</v>
      </c>
      <c r="AA10" s="5">
        <v>76.900000000000006</v>
      </c>
      <c r="AB10" s="1" t="s">
        <v>28</v>
      </c>
    </row>
    <row r="11" spans="2:32" x14ac:dyDescent="0.3">
      <c r="B11" s="1">
        <v>6</v>
      </c>
      <c r="C11" s="1">
        <v>9130</v>
      </c>
      <c r="D11" s="1">
        <f t="shared" si="0"/>
        <v>63090</v>
      </c>
      <c r="E11" s="1">
        <f>C11*(AF4/1000)</f>
        <v>11.4125</v>
      </c>
      <c r="F11" s="1">
        <f t="shared" si="1"/>
        <v>78.862499999999997</v>
      </c>
      <c r="G11" s="1" t="s">
        <v>11</v>
      </c>
      <c r="I11" s="1">
        <v>6</v>
      </c>
      <c r="J11" s="1">
        <v>1990</v>
      </c>
      <c r="K11" s="1">
        <f t="shared" si="2"/>
        <v>76820</v>
      </c>
      <c r="L11" s="1">
        <f>AF4*(J11/1000)</f>
        <v>2.4874999999999998</v>
      </c>
      <c r="M11" s="1">
        <f t="shared" si="3"/>
        <v>96.024999999999991</v>
      </c>
      <c r="N11" s="1" t="s">
        <v>22</v>
      </c>
      <c r="P11" s="1">
        <v>6</v>
      </c>
      <c r="Q11" s="1">
        <v>6630</v>
      </c>
      <c r="R11" s="1">
        <f t="shared" si="4"/>
        <v>50290</v>
      </c>
      <c r="S11" s="5">
        <v>8.2899999999999991</v>
      </c>
      <c r="T11" s="5">
        <v>62.86</v>
      </c>
      <c r="U11" s="1" t="s">
        <v>25</v>
      </c>
      <c r="W11" s="1">
        <v>6</v>
      </c>
      <c r="X11" s="1">
        <v>7510</v>
      </c>
      <c r="Y11" s="1">
        <f t="shared" si="5"/>
        <v>69030</v>
      </c>
      <c r="Z11" s="5">
        <v>9.39</v>
      </c>
      <c r="AA11" s="5">
        <v>86.29</v>
      </c>
      <c r="AB11" s="1" t="s">
        <v>14</v>
      </c>
    </row>
    <row r="12" spans="2:32" x14ac:dyDescent="0.3">
      <c r="B12" s="1">
        <v>7</v>
      </c>
      <c r="C12" s="1">
        <v>2620</v>
      </c>
      <c r="D12" s="1">
        <f t="shared" si="0"/>
        <v>65710</v>
      </c>
      <c r="E12" s="1">
        <f>C12*(AF4/1000)</f>
        <v>3.2749999999999999</v>
      </c>
      <c r="F12" s="1">
        <f t="shared" si="1"/>
        <v>82.137500000000003</v>
      </c>
      <c r="G12" s="1" t="s">
        <v>12</v>
      </c>
      <c r="I12" s="1">
        <v>7</v>
      </c>
      <c r="J12" s="1">
        <v>9270</v>
      </c>
      <c r="K12" s="1">
        <f t="shared" si="2"/>
        <v>86090</v>
      </c>
      <c r="L12" s="1">
        <f>AF4*(J12/1000)</f>
        <v>11.587499999999999</v>
      </c>
      <c r="M12" s="1">
        <f t="shared" si="3"/>
        <v>107.61249999999998</v>
      </c>
      <c r="N12" s="1" t="s">
        <v>23</v>
      </c>
      <c r="P12" s="1">
        <v>7</v>
      </c>
      <c r="Q12" s="1">
        <v>7630</v>
      </c>
      <c r="R12" s="1">
        <f t="shared" si="4"/>
        <v>57920</v>
      </c>
      <c r="S12" s="5">
        <v>9.5399999999999991</v>
      </c>
      <c r="T12" s="5">
        <v>72.400000000000006</v>
      </c>
      <c r="U12" s="1" t="s">
        <v>6</v>
      </c>
      <c r="W12" s="1">
        <v>7</v>
      </c>
      <c r="X12" s="1">
        <v>6980</v>
      </c>
      <c r="Y12" s="1">
        <f t="shared" si="5"/>
        <v>76010</v>
      </c>
      <c r="Z12" s="5">
        <v>8.73</v>
      </c>
      <c r="AA12" s="5">
        <v>95.01</v>
      </c>
      <c r="AB12" s="1" t="s">
        <v>22</v>
      </c>
    </row>
    <row r="13" spans="2:32" x14ac:dyDescent="0.3">
      <c r="B13" s="1">
        <v>8</v>
      </c>
      <c r="C13" s="1">
        <v>59150</v>
      </c>
      <c r="D13" s="1">
        <f t="shared" si="0"/>
        <v>124860</v>
      </c>
      <c r="E13" s="1">
        <f>C13*(AF5/1000)</f>
        <v>84.5</v>
      </c>
      <c r="F13" s="1">
        <f t="shared" si="1"/>
        <v>166.63749999999999</v>
      </c>
      <c r="G13" s="1" t="s">
        <v>13</v>
      </c>
      <c r="I13" s="1">
        <v>8</v>
      </c>
      <c r="J13" s="1">
        <v>7360</v>
      </c>
      <c r="K13" s="1">
        <f t="shared" si="2"/>
        <v>93450</v>
      </c>
      <c r="L13" s="1">
        <f>AF4*(J13/1000)</f>
        <v>9.2000000000000011</v>
      </c>
      <c r="M13" s="1">
        <f t="shared" si="3"/>
        <v>116.81249999999999</v>
      </c>
      <c r="N13" s="1" t="s">
        <v>24</v>
      </c>
      <c r="P13" s="1">
        <v>8</v>
      </c>
      <c r="Q13" s="1">
        <v>46080</v>
      </c>
      <c r="R13" s="1">
        <f t="shared" si="4"/>
        <v>104000</v>
      </c>
      <c r="S13" s="5">
        <v>57.6</v>
      </c>
      <c r="T13" s="5">
        <v>130</v>
      </c>
      <c r="U13" s="1" t="s">
        <v>17</v>
      </c>
      <c r="W13" s="1">
        <v>8</v>
      </c>
      <c r="X13" s="1">
        <v>1470</v>
      </c>
      <c r="Y13" s="1">
        <f t="shared" si="5"/>
        <v>77480</v>
      </c>
      <c r="Z13" s="5">
        <v>1.84</v>
      </c>
      <c r="AA13" s="5">
        <v>96.85</v>
      </c>
      <c r="AB13" s="1" t="s">
        <v>13</v>
      </c>
    </row>
    <row r="14" spans="2:32" x14ac:dyDescent="0.3">
      <c r="B14" s="1">
        <v>9</v>
      </c>
      <c r="C14" s="1">
        <v>1140</v>
      </c>
      <c r="D14" s="1">
        <f t="shared" si="0"/>
        <v>126000</v>
      </c>
      <c r="E14" s="1">
        <f>C14*(AF5/1000)</f>
        <v>1.6285714285714286</v>
      </c>
      <c r="F14" s="1">
        <f t="shared" si="1"/>
        <v>168.26607142857142</v>
      </c>
      <c r="G14" s="1" t="s">
        <v>13</v>
      </c>
      <c r="I14" s="1">
        <v>9</v>
      </c>
      <c r="J14" s="1">
        <v>3020</v>
      </c>
      <c r="K14" s="1">
        <f t="shared" si="2"/>
        <v>96470</v>
      </c>
      <c r="L14" s="1">
        <f>AF4*(J14/1000)</f>
        <v>3.7749999999999999</v>
      </c>
      <c r="M14" s="1">
        <f t="shared" si="3"/>
        <v>120.58749999999999</v>
      </c>
      <c r="N14" s="1" t="s">
        <v>20</v>
      </c>
      <c r="P14" s="1">
        <v>9</v>
      </c>
      <c r="Q14" s="1">
        <v>6090</v>
      </c>
      <c r="R14" s="1">
        <f t="shared" si="4"/>
        <v>110090</v>
      </c>
      <c r="S14" s="5">
        <v>7.61</v>
      </c>
      <c r="T14" s="5">
        <v>137.61000000000001</v>
      </c>
      <c r="U14" s="1" t="s">
        <v>16</v>
      </c>
      <c r="W14" s="1">
        <v>9</v>
      </c>
      <c r="X14" s="1">
        <v>27310</v>
      </c>
      <c r="Y14" s="1">
        <f t="shared" si="5"/>
        <v>104790</v>
      </c>
      <c r="Z14" s="5">
        <v>34.14</v>
      </c>
      <c r="AA14" s="5">
        <v>130.99</v>
      </c>
      <c r="AB14" s="1" t="s">
        <v>13</v>
      </c>
    </row>
    <row r="15" spans="2:32" x14ac:dyDescent="0.3">
      <c r="B15" s="1">
        <v>10</v>
      </c>
      <c r="C15" s="1">
        <v>5830</v>
      </c>
      <c r="D15" s="1">
        <f t="shared" si="0"/>
        <v>131830</v>
      </c>
      <c r="E15" s="1">
        <f>C15*(AF5/1000)</f>
        <v>8.3285714285714292</v>
      </c>
      <c r="F15" s="1">
        <f t="shared" si="1"/>
        <v>176.59464285714284</v>
      </c>
      <c r="G15" s="1" t="s">
        <v>14</v>
      </c>
      <c r="I15" s="1">
        <v>10</v>
      </c>
      <c r="J15" s="1">
        <v>3340</v>
      </c>
      <c r="K15" s="1">
        <f t="shared" si="2"/>
        <v>99810</v>
      </c>
      <c r="L15" s="1">
        <f>AF4*(J15/1000)</f>
        <v>4.1749999999999998</v>
      </c>
      <c r="M15" s="1">
        <f t="shared" si="3"/>
        <v>124.76249999999999</v>
      </c>
      <c r="N15" s="1" t="s">
        <v>19</v>
      </c>
      <c r="P15" s="1">
        <v>10</v>
      </c>
      <c r="Q15" s="1">
        <v>5860</v>
      </c>
      <c r="R15" s="1">
        <f t="shared" si="4"/>
        <v>115950</v>
      </c>
      <c r="S15" s="5">
        <v>7.33</v>
      </c>
      <c r="T15" s="5">
        <v>144.94</v>
      </c>
      <c r="U15" s="1" t="s">
        <v>19</v>
      </c>
      <c r="W15" s="1">
        <v>10</v>
      </c>
      <c r="X15" s="1">
        <v>1910</v>
      </c>
      <c r="Y15" s="1">
        <f t="shared" si="5"/>
        <v>106700</v>
      </c>
      <c r="Z15" s="5">
        <v>2.39</v>
      </c>
      <c r="AA15" s="5">
        <v>133.38</v>
      </c>
      <c r="AB15" s="1" t="s">
        <v>22</v>
      </c>
    </row>
    <row r="16" spans="2:32" x14ac:dyDescent="0.3">
      <c r="B16" s="1">
        <v>11</v>
      </c>
      <c r="C16" s="1">
        <v>5820</v>
      </c>
      <c r="D16" s="1">
        <f t="shared" si="0"/>
        <v>137650</v>
      </c>
      <c r="E16" s="1">
        <f>C16*(AF5/1000)</f>
        <v>8.3142857142857149</v>
      </c>
      <c r="F16" s="1">
        <f t="shared" si="1"/>
        <v>184.90892857142856</v>
      </c>
      <c r="G16" s="1" t="s">
        <v>15</v>
      </c>
      <c r="I16" s="1">
        <v>11</v>
      </c>
      <c r="J16" s="1">
        <v>6690</v>
      </c>
      <c r="K16" s="1">
        <f t="shared" si="2"/>
        <v>106500</v>
      </c>
      <c r="L16" s="1">
        <f>AF4*(J16/1000)</f>
        <v>8.3625000000000007</v>
      </c>
      <c r="M16" s="1">
        <f t="shared" si="3"/>
        <v>133.125</v>
      </c>
      <c r="N16" s="1" t="s">
        <v>16</v>
      </c>
      <c r="P16" s="1">
        <v>11</v>
      </c>
      <c r="Q16" s="1">
        <v>2300</v>
      </c>
      <c r="R16" s="1">
        <f t="shared" si="4"/>
        <v>118250</v>
      </c>
      <c r="S16" s="5">
        <v>2.88</v>
      </c>
      <c r="T16" s="5">
        <v>147.81</v>
      </c>
      <c r="U16" s="1" t="s">
        <v>20</v>
      </c>
      <c r="W16" s="1">
        <v>11</v>
      </c>
      <c r="X16" s="1">
        <v>7410</v>
      </c>
      <c r="Y16" s="1">
        <f t="shared" si="5"/>
        <v>114110</v>
      </c>
      <c r="Z16" s="5">
        <v>9.26</v>
      </c>
      <c r="AA16" s="5">
        <v>142.63999999999999</v>
      </c>
      <c r="AB16" s="1" t="s">
        <v>14</v>
      </c>
    </row>
    <row r="17" spans="2:28" x14ac:dyDescent="0.3">
      <c r="B17" s="1">
        <v>12</v>
      </c>
      <c r="C17" s="1">
        <v>2640</v>
      </c>
      <c r="D17" s="1">
        <f t="shared" si="0"/>
        <v>140290</v>
      </c>
      <c r="E17" s="1">
        <f>C17*(AF5/1000)</f>
        <v>3.7714285714285714</v>
      </c>
      <c r="F17" s="1">
        <f t="shared" si="1"/>
        <v>188.68035714285713</v>
      </c>
      <c r="G17" s="1" t="s">
        <v>20</v>
      </c>
      <c r="I17" s="1">
        <v>12</v>
      </c>
      <c r="J17" s="1">
        <v>7210</v>
      </c>
      <c r="K17" s="1">
        <f t="shared" si="2"/>
        <v>113710</v>
      </c>
      <c r="L17" s="1">
        <f>AF4*(J17/1000)</f>
        <v>9.0124999999999993</v>
      </c>
      <c r="M17" s="1">
        <f t="shared" si="3"/>
        <v>142.13749999999999</v>
      </c>
      <c r="N17" s="1" t="s">
        <v>17</v>
      </c>
      <c r="P17" s="1">
        <v>12</v>
      </c>
      <c r="Q17" s="1">
        <v>2950</v>
      </c>
      <c r="R17" s="1">
        <f t="shared" si="4"/>
        <v>121200</v>
      </c>
      <c r="S17" s="5">
        <v>3.69</v>
      </c>
      <c r="T17" s="5">
        <v>151.5</v>
      </c>
      <c r="U17" s="1" t="s">
        <v>15</v>
      </c>
      <c r="W17" s="1">
        <v>12</v>
      </c>
      <c r="X17" s="1">
        <v>7690</v>
      </c>
      <c r="Y17" s="1">
        <f t="shared" si="5"/>
        <v>121800</v>
      </c>
      <c r="Z17" s="5">
        <v>9.61</v>
      </c>
      <c r="AA17" s="5">
        <v>152.25</v>
      </c>
      <c r="AB17" s="1" t="s">
        <v>15</v>
      </c>
    </row>
    <row r="18" spans="2:28" x14ac:dyDescent="0.3">
      <c r="B18" s="1">
        <v>13</v>
      </c>
      <c r="C18" s="1">
        <v>3240</v>
      </c>
      <c r="D18" s="1">
        <f t="shared" si="0"/>
        <v>143530</v>
      </c>
      <c r="E18" s="1">
        <f>C18*(AF5/1000)</f>
        <v>4.628571428571429</v>
      </c>
      <c r="F18" s="1">
        <f t="shared" si="1"/>
        <v>193.30892857142857</v>
      </c>
      <c r="G18" s="1" t="s">
        <v>18</v>
      </c>
      <c r="I18" s="1">
        <v>13</v>
      </c>
      <c r="J18" s="1">
        <v>50700</v>
      </c>
      <c r="K18" s="1">
        <f t="shared" si="2"/>
        <v>164410</v>
      </c>
      <c r="L18" s="1">
        <f>AF4*(J18/1000)</f>
        <v>63.375</v>
      </c>
      <c r="M18" s="1">
        <f t="shared" si="3"/>
        <v>205.51249999999999</v>
      </c>
      <c r="N18" s="1" t="s">
        <v>6</v>
      </c>
      <c r="P18" s="1">
        <v>13</v>
      </c>
      <c r="Q18" s="1">
        <v>6100</v>
      </c>
      <c r="R18" s="1">
        <f t="shared" si="4"/>
        <v>127300</v>
      </c>
      <c r="S18" s="5">
        <v>7.63</v>
      </c>
      <c r="T18" s="5">
        <v>159.13</v>
      </c>
      <c r="U18" s="1" t="s">
        <v>14</v>
      </c>
      <c r="W18" s="1">
        <v>13</v>
      </c>
      <c r="X18" s="1">
        <v>3840</v>
      </c>
      <c r="Y18" s="1">
        <f t="shared" si="5"/>
        <v>125640</v>
      </c>
      <c r="Z18" s="5">
        <v>4.8</v>
      </c>
      <c r="AA18" s="5">
        <v>157.05000000000001</v>
      </c>
      <c r="AB18" s="1" t="s">
        <v>27</v>
      </c>
    </row>
    <row r="19" spans="2:28" x14ac:dyDescent="0.3">
      <c r="B19" s="1">
        <v>14</v>
      </c>
      <c r="C19" s="1">
        <v>7820</v>
      </c>
      <c r="D19" s="1">
        <f t="shared" si="0"/>
        <v>151350</v>
      </c>
      <c r="E19" s="1">
        <f>C19*(AF5/1000)</f>
        <v>11.171428571428571</v>
      </c>
      <c r="F19" s="1">
        <f t="shared" si="1"/>
        <v>204.48035714285714</v>
      </c>
      <c r="G19" s="1" t="s">
        <v>16</v>
      </c>
      <c r="I19" s="1">
        <v>15</v>
      </c>
      <c r="J19" s="1">
        <v>6290</v>
      </c>
      <c r="K19" s="1">
        <f t="shared" si="2"/>
        <v>170700</v>
      </c>
      <c r="L19" s="1">
        <f>AF4*(J19/1000)</f>
        <v>7.8624999999999998</v>
      </c>
      <c r="M19" s="1">
        <f t="shared" si="3"/>
        <v>213.375</v>
      </c>
      <c r="N19" s="1" t="s">
        <v>7</v>
      </c>
      <c r="P19" s="1">
        <v>14</v>
      </c>
      <c r="Q19" s="1">
        <v>5740</v>
      </c>
      <c r="R19" s="1">
        <f t="shared" si="4"/>
        <v>133040</v>
      </c>
      <c r="S19" s="5">
        <v>7.18</v>
      </c>
      <c r="T19" s="5">
        <v>166.3</v>
      </c>
      <c r="U19" s="1" t="s">
        <v>22</v>
      </c>
      <c r="W19" s="1">
        <v>14</v>
      </c>
      <c r="X19" s="1">
        <v>3170</v>
      </c>
      <c r="Y19" s="1">
        <f t="shared" si="5"/>
        <v>128810</v>
      </c>
      <c r="Z19" s="5">
        <v>3.96</v>
      </c>
      <c r="AA19" s="5">
        <v>161.01</v>
      </c>
      <c r="AB19" s="1" t="s">
        <v>19</v>
      </c>
    </row>
    <row r="20" spans="2:28" x14ac:dyDescent="0.3">
      <c r="B20" s="1">
        <v>15</v>
      </c>
      <c r="C20" s="1">
        <v>6060</v>
      </c>
      <c r="D20" s="1">
        <f t="shared" si="0"/>
        <v>157410</v>
      </c>
      <c r="E20" s="1">
        <f>C20*(AF5/1000)</f>
        <v>8.6571428571428566</v>
      </c>
      <c r="F20" s="1">
        <f t="shared" si="1"/>
        <v>213.13749999999999</v>
      </c>
      <c r="G20" s="1" t="s">
        <v>17</v>
      </c>
      <c r="I20" s="1">
        <v>16</v>
      </c>
      <c r="J20" s="1">
        <v>6620</v>
      </c>
      <c r="K20" s="1">
        <f t="shared" si="2"/>
        <v>177320</v>
      </c>
      <c r="L20" s="1">
        <f>AF4*(J20/1000)</f>
        <v>8.2750000000000004</v>
      </c>
      <c r="M20" s="1">
        <f t="shared" si="3"/>
        <v>221.65</v>
      </c>
      <c r="N20" s="1" t="s">
        <v>8</v>
      </c>
      <c r="P20" s="1">
        <v>15</v>
      </c>
      <c r="Q20" s="1">
        <v>1030</v>
      </c>
      <c r="R20" s="1">
        <f t="shared" si="4"/>
        <v>134070</v>
      </c>
      <c r="S20" s="5">
        <v>1.29</v>
      </c>
      <c r="T20" s="5">
        <v>167.59</v>
      </c>
      <c r="U20" s="1" t="s">
        <v>13</v>
      </c>
      <c r="W20" s="1">
        <v>15</v>
      </c>
      <c r="X20" s="1">
        <v>8050</v>
      </c>
      <c r="Y20" s="1">
        <f t="shared" si="5"/>
        <v>136860</v>
      </c>
      <c r="Z20" s="5">
        <v>10.06</v>
      </c>
      <c r="AA20" s="5">
        <v>171.08</v>
      </c>
      <c r="AB20" s="1" t="s">
        <v>16</v>
      </c>
    </row>
    <row r="21" spans="2:28" x14ac:dyDescent="0.3">
      <c r="B21" s="1">
        <v>16</v>
      </c>
      <c r="C21" s="1">
        <v>40460</v>
      </c>
      <c r="D21" s="1">
        <f t="shared" si="0"/>
        <v>197870</v>
      </c>
      <c r="E21" s="1">
        <f>C21*(AF4/1000)</f>
        <v>50.575000000000003</v>
      </c>
      <c r="F21" s="1">
        <f>F20+E21</f>
        <v>263.71249999999998</v>
      </c>
      <c r="G21" s="1" t="s">
        <v>29</v>
      </c>
      <c r="I21" s="1">
        <v>17</v>
      </c>
      <c r="J21" s="1">
        <v>5550</v>
      </c>
      <c r="K21" s="1">
        <f t="shared" si="2"/>
        <v>182870</v>
      </c>
      <c r="L21" s="1">
        <f>AF4*(J21/1000)</f>
        <v>6.9375</v>
      </c>
      <c r="M21" s="1">
        <f t="shared" si="3"/>
        <v>228.58750000000001</v>
      </c>
      <c r="N21" s="1" t="s">
        <v>29</v>
      </c>
      <c r="P21" s="1">
        <v>15</v>
      </c>
      <c r="Q21" s="1">
        <v>43470</v>
      </c>
      <c r="R21" s="1">
        <f t="shared" si="4"/>
        <v>177540</v>
      </c>
      <c r="S21" s="5">
        <v>54.34</v>
      </c>
      <c r="T21" s="5">
        <v>221.93</v>
      </c>
      <c r="U21" s="1" t="s">
        <v>12</v>
      </c>
      <c r="W21" s="1">
        <v>16</v>
      </c>
      <c r="X21" s="1">
        <v>7390</v>
      </c>
      <c r="Y21" s="1">
        <f t="shared" si="5"/>
        <v>144250</v>
      </c>
      <c r="Z21" s="5">
        <v>9.24</v>
      </c>
      <c r="AA21" s="5">
        <v>180.31</v>
      </c>
      <c r="AB21" s="1" t="s">
        <v>17</v>
      </c>
    </row>
    <row r="22" spans="2:28" x14ac:dyDescent="0.3">
      <c r="B22" s="1"/>
      <c r="D22" s="1"/>
      <c r="E22" s="1"/>
      <c r="F22" s="1"/>
      <c r="I22" s="1"/>
      <c r="P22" s="1">
        <v>16</v>
      </c>
      <c r="Q22" s="1">
        <v>780</v>
      </c>
      <c r="R22" s="1">
        <f t="shared" si="4"/>
        <v>178320</v>
      </c>
      <c r="S22" s="5">
        <v>0.98</v>
      </c>
      <c r="T22" s="5">
        <v>222.9</v>
      </c>
      <c r="U22" s="1" t="s">
        <v>11</v>
      </c>
      <c r="W22" s="1">
        <v>17</v>
      </c>
      <c r="X22" s="1">
        <v>45220</v>
      </c>
      <c r="Y22" s="1">
        <f t="shared" si="5"/>
        <v>189470</v>
      </c>
      <c r="Z22" s="5">
        <v>64.599999999999994</v>
      </c>
      <c r="AA22" s="5">
        <v>244.91</v>
      </c>
      <c r="AB22" s="1" t="s">
        <v>6</v>
      </c>
    </row>
    <row r="23" spans="2:28" x14ac:dyDescent="0.3">
      <c r="B23" s="1"/>
      <c r="D23" s="1"/>
      <c r="E23" s="1"/>
      <c r="F23" s="1"/>
      <c r="I23" s="1"/>
      <c r="J23" s="1"/>
      <c r="K23" s="1"/>
      <c r="L23" s="1"/>
      <c r="M23" s="1"/>
      <c r="P23" s="1">
        <v>17</v>
      </c>
      <c r="Q23" s="1">
        <v>7430</v>
      </c>
      <c r="R23" s="1">
        <f t="shared" si="4"/>
        <v>185750</v>
      </c>
      <c r="S23" s="5">
        <v>9.2899999999999991</v>
      </c>
      <c r="T23" s="5">
        <v>232.19</v>
      </c>
      <c r="U23" s="1" t="s">
        <v>26</v>
      </c>
      <c r="W23" s="1">
        <v>18</v>
      </c>
      <c r="X23" s="1">
        <v>6050</v>
      </c>
      <c r="Y23" s="1">
        <f t="shared" si="5"/>
        <v>195520</v>
      </c>
      <c r="Z23" s="5">
        <v>8.64</v>
      </c>
      <c r="AA23" s="5">
        <v>253.56</v>
      </c>
      <c r="AB23" s="1" t="s">
        <v>7</v>
      </c>
    </row>
    <row r="24" spans="2:28" x14ac:dyDescent="0.3">
      <c r="B24" s="1"/>
      <c r="C24" s="1"/>
      <c r="D24" s="1"/>
      <c r="E24" s="1"/>
      <c r="F24" s="1"/>
      <c r="I24" s="1"/>
      <c r="K24" s="1"/>
      <c r="L24" s="1"/>
      <c r="M24" s="1"/>
      <c r="P24" s="1">
        <v>18</v>
      </c>
      <c r="Q24" s="1">
        <v>8150</v>
      </c>
      <c r="R24" s="1">
        <f t="shared" si="4"/>
        <v>193900</v>
      </c>
      <c r="S24" s="5">
        <v>10.19</v>
      </c>
      <c r="T24" s="5">
        <v>242.38</v>
      </c>
      <c r="U24" s="1" t="s">
        <v>21</v>
      </c>
      <c r="W24" s="1">
        <v>19</v>
      </c>
      <c r="X24" s="1">
        <v>5850</v>
      </c>
      <c r="Y24" s="1">
        <f t="shared" si="5"/>
        <v>201370</v>
      </c>
      <c r="Z24" s="5">
        <v>8.36</v>
      </c>
      <c r="AA24" s="5">
        <v>261.91000000000003</v>
      </c>
      <c r="AB24" s="1" t="s">
        <v>8</v>
      </c>
    </row>
    <row r="25" spans="2:28" x14ac:dyDescent="0.3">
      <c r="B25" s="1"/>
      <c r="D25" s="1"/>
      <c r="E25" s="1"/>
      <c r="F25" s="1"/>
      <c r="I25" s="1"/>
      <c r="K25" s="1"/>
      <c r="L25" s="1"/>
      <c r="M25" s="1"/>
      <c r="P25" s="1">
        <v>19</v>
      </c>
      <c r="Q25" s="1">
        <v>5630</v>
      </c>
      <c r="R25" s="1">
        <f t="shared" si="4"/>
        <v>199530</v>
      </c>
      <c r="S25" s="5">
        <v>7.04</v>
      </c>
      <c r="T25" s="5">
        <v>249.41</v>
      </c>
      <c r="U25" s="1" t="s">
        <v>8</v>
      </c>
      <c r="W25" s="1">
        <v>20</v>
      </c>
      <c r="X25" s="1">
        <v>5810</v>
      </c>
      <c r="Y25" s="1">
        <f t="shared" si="5"/>
        <v>207180</v>
      </c>
      <c r="Z25" s="5">
        <v>8.3000000000000007</v>
      </c>
      <c r="AA25" s="5">
        <v>270.20999999999998</v>
      </c>
      <c r="AB25" s="1" t="s">
        <v>21</v>
      </c>
    </row>
    <row r="26" spans="2:28" x14ac:dyDescent="0.3">
      <c r="B26" s="1"/>
      <c r="D26" s="1"/>
      <c r="E26" s="1"/>
      <c r="F26" s="1"/>
      <c r="I26" s="1"/>
      <c r="K26" s="1"/>
      <c r="L26" s="1"/>
      <c r="M26" s="1"/>
      <c r="P26" s="1">
        <v>20</v>
      </c>
      <c r="Q26" s="1">
        <v>7210</v>
      </c>
      <c r="R26" s="1">
        <f t="shared" si="4"/>
        <v>206740</v>
      </c>
      <c r="S26" s="5">
        <v>9.01</v>
      </c>
      <c r="T26" s="5">
        <v>258.43</v>
      </c>
      <c r="U26" s="1" t="s">
        <v>7</v>
      </c>
      <c r="W26" s="1">
        <v>21</v>
      </c>
      <c r="X26" s="1">
        <v>5940</v>
      </c>
      <c r="Y26" s="1">
        <f t="shared" si="5"/>
        <v>213120</v>
      </c>
      <c r="Z26" s="5">
        <v>8.49</v>
      </c>
      <c r="AA26" s="5">
        <v>278.7</v>
      </c>
      <c r="AB26" s="1" t="s">
        <v>10</v>
      </c>
    </row>
    <row r="27" spans="2:28" x14ac:dyDescent="0.3">
      <c r="B27" s="1"/>
      <c r="D27" s="1"/>
      <c r="E27" s="1"/>
      <c r="F27" s="1"/>
      <c r="I27" s="1"/>
      <c r="K27" s="1"/>
      <c r="L27" s="1"/>
      <c r="M27" s="1"/>
      <c r="P27" s="1">
        <v>21</v>
      </c>
      <c r="Q27" s="1">
        <v>7220</v>
      </c>
      <c r="R27" s="1">
        <f t="shared" si="4"/>
        <v>213960</v>
      </c>
      <c r="S27" s="5">
        <v>9.0299999999999994</v>
      </c>
      <c r="T27" s="5">
        <v>267.45</v>
      </c>
      <c r="U27" s="1" t="s">
        <v>6</v>
      </c>
      <c r="W27" s="1">
        <v>22</v>
      </c>
      <c r="X27" s="1">
        <v>6220</v>
      </c>
      <c r="Y27" s="1">
        <f t="shared" si="5"/>
        <v>219340</v>
      </c>
      <c r="Z27" s="5">
        <v>8.89</v>
      </c>
      <c r="AA27" s="5">
        <v>287.58</v>
      </c>
      <c r="AB27" s="1" t="s">
        <v>11</v>
      </c>
    </row>
    <row r="28" spans="2:28" x14ac:dyDescent="0.3">
      <c r="B28" s="1"/>
      <c r="D28" s="1"/>
      <c r="E28" s="1"/>
      <c r="F28" s="1"/>
      <c r="I28" s="1"/>
      <c r="K28" s="1"/>
      <c r="L28" s="1"/>
      <c r="M28" s="1"/>
      <c r="P28" s="1">
        <v>22</v>
      </c>
      <c r="Q28" s="1">
        <v>38500</v>
      </c>
      <c r="R28" s="1">
        <f t="shared" si="4"/>
        <v>252460</v>
      </c>
      <c r="S28" s="5">
        <v>48.13</v>
      </c>
      <c r="T28" s="5">
        <v>315.58</v>
      </c>
      <c r="U28" s="1" t="s">
        <v>29</v>
      </c>
      <c r="W28" s="1">
        <v>23</v>
      </c>
      <c r="X28" s="1">
        <v>1180</v>
      </c>
      <c r="Y28" s="1">
        <f t="shared" si="5"/>
        <v>220520</v>
      </c>
      <c r="Z28" s="5">
        <v>1.69</v>
      </c>
      <c r="AA28" s="5">
        <v>289.27</v>
      </c>
      <c r="AB28" s="1" t="s">
        <v>12</v>
      </c>
    </row>
    <row r="29" spans="2:28" x14ac:dyDescent="0.3">
      <c r="P29" s="1"/>
      <c r="R29" s="1"/>
      <c r="S29" s="1"/>
      <c r="T29" s="1"/>
      <c r="W29" s="1">
        <v>24</v>
      </c>
      <c r="X29" s="1">
        <v>7340</v>
      </c>
      <c r="Y29" s="1">
        <f t="shared" si="5"/>
        <v>227860</v>
      </c>
      <c r="Z29" s="5">
        <v>10.49</v>
      </c>
      <c r="AA29" s="5">
        <v>299.76</v>
      </c>
      <c r="AB29" s="1" t="s">
        <v>29</v>
      </c>
    </row>
    <row r="30" spans="2:28" x14ac:dyDescent="0.3">
      <c r="N30" s="1"/>
      <c r="P30" s="1"/>
      <c r="R30" s="1"/>
      <c r="S30" s="1"/>
      <c r="T30" s="1"/>
    </row>
    <row r="31" spans="2:28" x14ac:dyDescent="0.3">
      <c r="N31" s="1"/>
      <c r="P31" s="1"/>
      <c r="R31" s="1"/>
      <c r="S31" s="1"/>
      <c r="T31" s="1"/>
      <c r="U31" s="1"/>
    </row>
    <row r="32" spans="2:28" x14ac:dyDescent="0.3">
      <c r="C32" s="1"/>
      <c r="N32" s="1"/>
      <c r="O32" s="1"/>
      <c r="P32" s="1"/>
      <c r="R32" s="1"/>
      <c r="S32" s="1"/>
      <c r="T32" s="1"/>
    </row>
    <row r="33" spans="3:21" x14ac:dyDescent="0.3">
      <c r="N33" s="1"/>
      <c r="P33" s="1"/>
      <c r="R33" s="1"/>
      <c r="S33" s="1"/>
      <c r="T33" s="1"/>
      <c r="U33" s="1"/>
    </row>
    <row r="34" spans="3:21" x14ac:dyDescent="0.3">
      <c r="N34" s="1"/>
      <c r="O34" s="1"/>
      <c r="P34" s="1"/>
      <c r="R34" s="1"/>
      <c r="S34" s="1"/>
      <c r="T34" s="1"/>
    </row>
    <row r="35" spans="3:21" x14ac:dyDescent="0.3">
      <c r="C35" s="1"/>
      <c r="N35" s="1"/>
      <c r="P35" s="1"/>
      <c r="R35" s="1"/>
      <c r="S35" s="1"/>
      <c r="T35" s="1"/>
    </row>
    <row r="36" spans="3:21" x14ac:dyDescent="0.3">
      <c r="I36" s="1"/>
      <c r="N36" s="1"/>
      <c r="O36" s="1"/>
      <c r="P36" s="1"/>
      <c r="R36" s="1"/>
      <c r="S36" s="1"/>
      <c r="T36" s="1"/>
      <c r="U36" s="1"/>
    </row>
    <row r="37" spans="3:21" x14ac:dyDescent="0.3">
      <c r="N37" s="1"/>
      <c r="P37" s="1"/>
      <c r="R37" s="1"/>
      <c r="S37" s="1"/>
      <c r="T37" s="1"/>
    </row>
    <row r="38" spans="3:21" x14ac:dyDescent="0.3">
      <c r="C38" s="1"/>
      <c r="I38" s="1"/>
      <c r="N38" s="1"/>
      <c r="P38" s="1"/>
      <c r="R38" s="1"/>
      <c r="S38" s="1"/>
      <c r="T38" s="1"/>
    </row>
    <row r="39" spans="3:21" x14ac:dyDescent="0.3">
      <c r="N39" s="1"/>
      <c r="O39" s="1"/>
      <c r="P39" s="1"/>
      <c r="R39" s="1"/>
      <c r="S39" s="1"/>
      <c r="T39" s="1"/>
      <c r="U39" s="1"/>
    </row>
    <row r="40" spans="3:21" x14ac:dyDescent="0.3">
      <c r="C40" s="1"/>
      <c r="I40" s="1"/>
      <c r="N40" s="1"/>
      <c r="P40" s="1"/>
      <c r="R40" s="1"/>
      <c r="S40" s="1"/>
      <c r="T40" s="1"/>
    </row>
    <row r="41" spans="3:21" x14ac:dyDescent="0.3">
      <c r="I41" s="1"/>
      <c r="O41" s="1"/>
      <c r="R41" s="1"/>
      <c r="S41" s="1"/>
      <c r="T41" s="1"/>
      <c r="U41" s="1"/>
    </row>
    <row r="42" spans="3:21" x14ac:dyDescent="0.3">
      <c r="I42" s="1"/>
    </row>
    <row r="44" spans="3:21" x14ac:dyDescent="0.3">
      <c r="C44" s="1"/>
      <c r="U44" s="1"/>
    </row>
    <row r="45" spans="3:21" x14ac:dyDescent="0.3">
      <c r="I45" s="1"/>
      <c r="O45" s="1"/>
    </row>
    <row r="46" spans="3:21" x14ac:dyDescent="0.3">
      <c r="C46" s="1"/>
      <c r="U46" s="1"/>
    </row>
    <row r="47" spans="3:21" x14ac:dyDescent="0.3">
      <c r="O47" s="1"/>
    </row>
    <row r="48" spans="3:21" x14ac:dyDescent="0.3">
      <c r="C48" s="1"/>
      <c r="I48" s="1"/>
    </row>
    <row r="49" spans="3:15" x14ac:dyDescent="0.3">
      <c r="C49" s="1"/>
      <c r="O49" s="1"/>
    </row>
    <row r="50" spans="3:15" x14ac:dyDescent="0.3">
      <c r="I50" s="1"/>
    </row>
    <row r="51" spans="3:15" x14ac:dyDescent="0.3">
      <c r="O51" s="1"/>
    </row>
    <row r="52" spans="3:15" x14ac:dyDescent="0.3">
      <c r="C52" s="1"/>
      <c r="I5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STILITE la227642</dc:creator>
  <cp:lastModifiedBy>Simon STILITE la227642</cp:lastModifiedBy>
  <dcterms:created xsi:type="dcterms:W3CDTF">2026-07-03T13:05:01Z</dcterms:created>
  <dcterms:modified xsi:type="dcterms:W3CDTF">2026-07-12T13:50:29Z</dcterms:modified>
</cp:coreProperties>
</file>